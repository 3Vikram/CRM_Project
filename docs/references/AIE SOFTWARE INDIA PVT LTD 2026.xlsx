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A985EB7-C6E2-4504-80BE-3038A68A0B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Sheet1!$A$1:$O$21</definedName>
  </definedNames>
  <calcPr calcId="191029"/>
</workbook>
</file>

<file path=xl/calcChain.xml><?xml version="1.0" encoding="utf-8"?>
<calcChain xmlns="http://schemas.openxmlformats.org/spreadsheetml/2006/main">
  <c r="E23" i="1" l="1"/>
  <c r="E22" i="1"/>
  <c r="E21" i="1"/>
  <c r="E20" i="1"/>
  <c r="E19" i="1" l="1"/>
  <c r="E18" i="1" l="1"/>
  <c r="E17" i="1" l="1"/>
  <c r="E16" i="1" l="1"/>
  <c r="E15" i="1" l="1"/>
  <c r="E14" i="1" l="1"/>
  <c r="E13" i="1" l="1"/>
  <c r="E12" i="1" l="1"/>
  <c r="E11" i="1" l="1"/>
  <c r="E10" i="1" l="1"/>
  <c r="E9" i="1" l="1"/>
  <c r="E8" i="1" l="1"/>
  <c r="E7" i="1" l="1"/>
  <c r="E2" i="1" l="1"/>
  <c r="E3" i="1"/>
  <c r="E4" i="1"/>
  <c r="E5" i="1"/>
  <c r="E6" i="1"/>
</calcChain>
</file>

<file path=xl/sharedStrings.xml><?xml version="1.0" encoding="utf-8"?>
<sst xmlns="http://schemas.openxmlformats.org/spreadsheetml/2006/main" count="166" uniqueCount="112">
  <si>
    <t>SL. NO.</t>
  </si>
  <si>
    <t>DC.NO.</t>
  </si>
  <si>
    <t>DC DATE</t>
  </si>
  <si>
    <t>PRESENT MONTH</t>
  </si>
  <si>
    <t>MONTHS</t>
  </si>
  <si>
    <t>MAKE</t>
  </si>
  <si>
    <t>MODEL</t>
  </si>
  <si>
    <t>CONFIGURATION</t>
  </si>
  <si>
    <t>COURIER</t>
  </si>
  <si>
    <t xml:space="preserve">RETURNED </t>
  </si>
  <si>
    <t>PRICE</t>
  </si>
  <si>
    <t xml:space="preserve">LENOVO </t>
  </si>
  <si>
    <t>L14</t>
  </si>
  <si>
    <t>PW0GR96Q</t>
  </si>
  <si>
    <t>PERSON</t>
  </si>
  <si>
    <t>CONTACT NO</t>
  </si>
  <si>
    <t>COMPANY</t>
  </si>
  <si>
    <t>SYNOV</t>
  </si>
  <si>
    <t>PG04ZPXH</t>
  </si>
  <si>
    <t>071</t>
  </si>
  <si>
    <t>ULTRA 7 - 155U/32GBRAM/512GBSSD/WINDOWS 11/ADAPTER/BOXPIECE/BAG</t>
  </si>
  <si>
    <t xml:space="preserve">HIMANSHU SIRESIYA </t>
  </si>
  <si>
    <t>AHMEDABAD, GUJARAT - 382345</t>
  </si>
  <si>
    <t>089</t>
  </si>
  <si>
    <t xml:space="preserve">DELL LATITUDE </t>
  </si>
  <si>
    <t>JK530B4</t>
  </si>
  <si>
    <t>I5/13THGEN/32GBRAM/512GBSSD/WINDOWS11/ADAPTER/BAG</t>
  </si>
  <si>
    <t>IRFAN NADEEM</t>
  </si>
  <si>
    <t>BTM LAYOUT, BANGLORE - 560029</t>
  </si>
  <si>
    <t>093</t>
  </si>
  <si>
    <t>8Q530B4</t>
  </si>
  <si>
    <t>I5/13THGEN/32GBRAM/512GBSSD/WINDOWS11/ADAPTER/BOXPIECE</t>
  </si>
  <si>
    <t>BENHUR. R. DURAI</t>
  </si>
  <si>
    <t>KANYAKUMARI DISTRICT, TAMILNADU - 629703</t>
  </si>
  <si>
    <t>099</t>
  </si>
  <si>
    <t>PW0GRETP</t>
  </si>
  <si>
    <t>I5/13THGEN/32GBRAM/512GBSSD/WINDOWS 11PRO/ADAPTER/BOXPIECE</t>
  </si>
  <si>
    <t xml:space="preserve">PARMINDAR SINGH </t>
  </si>
  <si>
    <t>TARN TARAN, PUNJAB - 143406</t>
  </si>
  <si>
    <t>6290292282/7604009748</t>
  </si>
  <si>
    <t>PW0GR90D</t>
  </si>
  <si>
    <t>CK530B4</t>
  </si>
  <si>
    <t xml:space="preserve">SREENATH  REDDY </t>
  </si>
  <si>
    <t>KADAPA, ANDRAPRADESH - 516002</t>
  </si>
  <si>
    <t>HARSH  HALAGALIMATH</t>
  </si>
  <si>
    <t>BANGALORE</t>
  </si>
  <si>
    <t>4RB30B4</t>
  </si>
  <si>
    <t>I5/13THGEN/32GBRAM/512GBSSD/BOXPIECE/WIN11/ADAPTER</t>
  </si>
  <si>
    <t>MANJULA</t>
  </si>
  <si>
    <t>RAGHUVANAHALLI BANGALORE - 560109</t>
  </si>
  <si>
    <t>F8Q40B4</t>
  </si>
  <si>
    <t>SANTANU SANTRA</t>
  </si>
  <si>
    <t>18Q40B4</t>
  </si>
  <si>
    <t>I5/13THGEN/32GBRAM/512GBSSD/WINDOWS11PRO/ADAPTER/BOXPIECE</t>
  </si>
  <si>
    <t>DINESHKUMAR</t>
  </si>
  <si>
    <t>COIMBATORE - 641035</t>
  </si>
  <si>
    <t>3M530B4</t>
  </si>
  <si>
    <t>I5/13THGEN/32GB/512GBSSD/WIN11/ADAPTER/BOXPIECE</t>
  </si>
  <si>
    <t>BINU KAILAS</t>
  </si>
  <si>
    <t>CHENNAI - 600119</t>
  </si>
  <si>
    <t>I5/13THGEN/32GB/512GBSSD/WIN11P/ADAPTER</t>
  </si>
  <si>
    <t>VIKAS SAGAR</t>
  </si>
  <si>
    <t>UTTAR PRADESH - 201014</t>
  </si>
  <si>
    <t>G0N30B4</t>
  </si>
  <si>
    <t>I5/1345U VPRO/14FHD/32GB/512GBSSD/WIN11P/FPR/BKB/ADAPTER/BP</t>
  </si>
  <si>
    <t>GAURI DATTU</t>
  </si>
  <si>
    <t>PUNE - 412307</t>
  </si>
  <si>
    <t>7LB7JD4</t>
  </si>
  <si>
    <t>ULTRA 7 - 165H/32GBRAM/512GBSSD/WINDOWS 11/ADAPTER/BOXPIECE/BAG</t>
  </si>
  <si>
    <t>DEBBANI CHATTOPADHYAY</t>
  </si>
  <si>
    <t>MUMBAI - 400072</t>
  </si>
  <si>
    <t xml:space="preserve">DELL  </t>
  </si>
  <si>
    <t>PRO14</t>
  </si>
  <si>
    <t>821VR24</t>
  </si>
  <si>
    <t>ULTRA 5- 235U/16GB/512GBSSD/WIN11/ADAPTER/BP</t>
  </si>
  <si>
    <t>SHRUTHI N C</t>
  </si>
  <si>
    <t xml:space="preserve">BANGLORE </t>
  </si>
  <si>
    <t>DELL</t>
  </si>
  <si>
    <t>33YWR24</t>
  </si>
  <si>
    <t>ULTRA 5- 235U/32GB/512GBSSD/WIN11P/ADAPTER/BP</t>
  </si>
  <si>
    <t>ANUJ KUMAR VERMA</t>
  </si>
  <si>
    <t>PUNE - 411057</t>
  </si>
  <si>
    <t>3VIKRAM</t>
  </si>
  <si>
    <t>PG04MQ5G</t>
  </si>
  <si>
    <t>I5/13THGEN/16GB/512GBSSD/WIN11/ADAPTER</t>
  </si>
  <si>
    <t>CHIRASANI RAJYA LAKSHMI</t>
  </si>
  <si>
    <t>CHENNAI - 600100</t>
  </si>
  <si>
    <t>PW0GRES1</t>
  </si>
  <si>
    <t>I5/13THGEN/32GB/512GBSSD/WIN11/ADAPTER</t>
  </si>
  <si>
    <t>VADDDEMPUDI DAYAKAR</t>
  </si>
  <si>
    <t>ANDRAPRADESH - 522509</t>
  </si>
  <si>
    <t>PG04GHD8</t>
  </si>
  <si>
    <t>SRINIVAS BK</t>
  </si>
  <si>
    <t>DAVANAGERE - 577004</t>
  </si>
  <si>
    <t>RETURNED ON 20-04-2026</t>
  </si>
  <si>
    <t>PG04MQ4R</t>
  </si>
  <si>
    <t>NITESH KUMAR</t>
  </si>
  <si>
    <t>JHARKHAND - 834004</t>
  </si>
  <si>
    <t>6NB30B4</t>
  </si>
  <si>
    <t>KARWAR, UTTARKANNADA - 581304</t>
  </si>
  <si>
    <t>DATTA PRASAD BHANGLE</t>
  </si>
  <si>
    <t>RETURNED ON 22-05-2026</t>
  </si>
  <si>
    <t>PW0GREW5</t>
  </si>
  <si>
    <t>MOHAN BABU</t>
  </si>
  <si>
    <t>CHENNAI - 600021</t>
  </si>
  <si>
    <t>RETURNED ON 08-07-2026</t>
  </si>
  <si>
    <t>APPLE</t>
  </si>
  <si>
    <t>MACBOOK PRO</t>
  </si>
  <si>
    <t>LP06M9GQ5H</t>
  </si>
  <si>
    <t>M1 CHIP/16GB/1TBSSD/MACOS/ADAPTER</t>
  </si>
  <si>
    <t>DATTAPRASAD BHANGLE</t>
  </si>
  <si>
    <t>UTTARAKANNADA - 581304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</si>
</sst>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"/>
  <sheetViews>
    <sheetView tabSelected="1" workbookViewId="0">
      <selection activeCell="H23" sqref="H23"/>
    </sheetView>
  </sheetViews>
  <sheetFormatPr defaultRowHeight="15" x14ac:dyDescent="0.25"/>
  <cols>
    <col min="1" max="1" width="5" customWidth="1"/>
    <col min="2" max="2" width="5.5703125" style="8" customWidth="1"/>
    <col min="3" max="3" width="10.7109375" style="8" customWidth="1"/>
    <col min="4" max="4" width="10.5703125" style="8" customWidth="1"/>
    <col min="5" max="5" width="7.28515625" style="8" customWidth="1"/>
    <col min="6" max="6" width="14.28515625" style="8" bestFit="1" customWidth="1"/>
    <col min="7" max="7" width="14.5703125" style="8" bestFit="1" customWidth="1"/>
    <col min="8" max="8" width="16.42578125" style="8" customWidth="1"/>
    <col min="9" max="9" width="65.42578125" style="8" customWidth="1"/>
    <col min="10" max="10" width="9.28515625" style="8" customWidth="1"/>
    <col min="11" max="11" width="17.5703125" style="8" customWidth="1"/>
    <col min="12" max="12" width="17.140625" style="8" customWidth="1"/>
    <col min="13" max="13" width="22.7109375" style="8" customWidth="1"/>
    <col min="14" max="14" width="25.28515625" style="8" customWidth="1"/>
    <col min="15" max="15" width="10.85546875" style="8" customWidth="1"/>
    <col min="16" max="16" width="9.140625" style="8"/>
  </cols>
  <sheetData>
    <row r="1" spans="1:16" s="4" customFormat="1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7</v>
      </c>
      <c r="J1" s="1" t="s">
        <v>10</v>
      </c>
      <c r="K1" s="1" t="s">
        <v>14</v>
      </c>
      <c r="L1" s="1" t="s">
        <v>8</v>
      </c>
      <c r="M1" s="1" t="s">
        <v>15</v>
      </c>
      <c r="N1" s="1" t="s">
        <v>9</v>
      </c>
      <c r="O1" s="1" t="s">
        <v>16</v>
      </c>
      <c r="P1" s="3"/>
    </row>
    <row r="2" spans="1:16" s="10" customFormat="1" hidden="1" x14ac:dyDescent="0.25">
      <c r="A2" s="10">
        <v>1</v>
      </c>
      <c r="B2" s="12" t="s">
        <v>19</v>
      </c>
      <c r="C2" s="11">
        <v>45912</v>
      </c>
      <c r="D2" s="11">
        <v>46143</v>
      </c>
      <c r="E2" s="10">
        <f t="shared" ref="E2:E23" si="0">DATEDIF(C2,D2,"M")</f>
        <v>7</v>
      </c>
      <c r="F2" s="10" t="s">
        <v>11</v>
      </c>
      <c r="G2" s="10" t="s">
        <v>12</v>
      </c>
      <c r="H2" s="10" t="s">
        <v>18</v>
      </c>
      <c r="I2" s="10" t="s">
        <v>20</v>
      </c>
      <c r="J2" s="10">
        <v>4200</v>
      </c>
      <c r="K2" s="10" t="s">
        <v>21</v>
      </c>
      <c r="L2" s="10" t="s">
        <v>22</v>
      </c>
      <c r="M2" s="10">
        <v>9662051385</v>
      </c>
      <c r="N2" s="10" t="s">
        <v>101</v>
      </c>
      <c r="O2" s="10" t="s">
        <v>17</v>
      </c>
    </row>
    <row r="3" spans="1:16" s="5" customFormat="1" x14ac:dyDescent="0.25">
      <c r="A3" s="5">
        <v>2</v>
      </c>
      <c r="B3" s="6" t="s">
        <v>23</v>
      </c>
      <c r="C3" s="7">
        <v>45925</v>
      </c>
      <c r="D3" s="7">
        <v>46204</v>
      </c>
      <c r="E3" s="5">
        <f t="shared" si="0"/>
        <v>9</v>
      </c>
      <c r="F3" s="5" t="s">
        <v>24</v>
      </c>
      <c r="G3" s="5">
        <v>5450</v>
      </c>
      <c r="H3" s="9" t="s">
        <v>25</v>
      </c>
      <c r="I3" s="5" t="s">
        <v>26</v>
      </c>
      <c r="J3" s="5">
        <v>3650</v>
      </c>
      <c r="K3" s="5" t="s">
        <v>27</v>
      </c>
      <c r="L3" s="5" t="s">
        <v>28</v>
      </c>
      <c r="M3" s="5">
        <v>8217090957</v>
      </c>
      <c r="O3" s="5" t="s">
        <v>82</v>
      </c>
    </row>
    <row r="4" spans="1:16" s="5" customFormat="1" x14ac:dyDescent="0.25">
      <c r="A4" s="5">
        <v>3</v>
      </c>
      <c r="B4" s="6" t="s">
        <v>29</v>
      </c>
      <c r="C4" s="7">
        <v>45929</v>
      </c>
      <c r="D4" s="7">
        <v>46204</v>
      </c>
      <c r="E4" s="5">
        <f t="shared" si="0"/>
        <v>9</v>
      </c>
      <c r="F4" s="5" t="s">
        <v>24</v>
      </c>
      <c r="G4" s="5">
        <v>5450</v>
      </c>
      <c r="H4" s="5" t="s">
        <v>30</v>
      </c>
      <c r="I4" s="5" t="s">
        <v>31</v>
      </c>
      <c r="J4" s="5">
        <v>3650</v>
      </c>
      <c r="K4" s="5" t="s">
        <v>32</v>
      </c>
      <c r="L4" s="5" t="s">
        <v>33</v>
      </c>
      <c r="M4" s="5">
        <v>9731769071</v>
      </c>
      <c r="O4" s="5" t="s">
        <v>17</v>
      </c>
    </row>
    <row r="5" spans="1:16" s="5" customFormat="1" x14ac:dyDescent="0.25">
      <c r="A5" s="5">
        <v>4</v>
      </c>
      <c r="B5" s="6" t="s">
        <v>34</v>
      </c>
      <c r="C5" s="7">
        <v>45929</v>
      </c>
      <c r="D5" s="7">
        <v>46204</v>
      </c>
      <c r="E5" s="5">
        <f t="shared" si="0"/>
        <v>9</v>
      </c>
      <c r="F5" s="5" t="s">
        <v>11</v>
      </c>
      <c r="G5" s="5" t="s">
        <v>12</v>
      </c>
      <c r="H5" s="5" t="s">
        <v>35</v>
      </c>
      <c r="I5" s="5" t="s">
        <v>36</v>
      </c>
      <c r="J5" s="5">
        <v>3650</v>
      </c>
      <c r="K5" s="5" t="s">
        <v>37</v>
      </c>
      <c r="L5" s="5" t="s">
        <v>38</v>
      </c>
      <c r="M5" s="5" t="s">
        <v>39</v>
      </c>
      <c r="O5" s="5" t="s">
        <v>17</v>
      </c>
    </row>
    <row r="6" spans="1:16" s="5" customFormat="1" x14ac:dyDescent="0.25">
      <c r="A6" s="5">
        <v>5</v>
      </c>
      <c r="B6" s="5">
        <v>104</v>
      </c>
      <c r="C6" s="7">
        <v>45936</v>
      </c>
      <c r="D6" s="7">
        <v>46204</v>
      </c>
      <c r="E6" s="5">
        <f t="shared" si="0"/>
        <v>8</v>
      </c>
      <c r="F6" s="5" t="s">
        <v>11</v>
      </c>
      <c r="G6" s="5" t="s">
        <v>12</v>
      </c>
      <c r="H6" s="5" t="s">
        <v>40</v>
      </c>
      <c r="I6" s="5" t="s">
        <v>31</v>
      </c>
      <c r="J6" s="5">
        <v>3650</v>
      </c>
      <c r="K6" s="5" t="s">
        <v>44</v>
      </c>
      <c r="L6" s="5" t="s">
        <v>45</v>
      </c>
      <c r="M6" s="5">
        <v>8147051251</v>
      </c>
      <c r="O6" s="5" t="s">
        <v>17</v>
      </c>
    </row>
    <row r="7" spans="1:16" s="5" customFormat="1" x14ac:dyDescent="0.25">
      <c r="A7" s="5">
        <v>6</v>
      </c>
      <c r="B7" s="5">
        <v>118</v>
      </c>
      <c r="C7" s="7">
        <v>45939</v>
      </c>
      <c r="D7" s="7">
        <v>46204</v>
      </c>
      <c r="E7" s="5">
        <f t="shared" si="0"/>
        <v>8</v>
      </c>
      <c r="F7" s="5" t="s">
        <v>24</v>
      </c>
      <c r="G7" s="5">
        <v>5450</v>
      </c>
      <c r="H7" s="5" t="s">
        <v>41</v>
      </c>
      <c r="I7" s="5" t="s">
        <v>31</v>
      </c>
      <c r="J7" s="5">
        <v>3650</v>
      </c>
      <c r="K7" s="5" t="s">
        <v>42</v>
      </c>
      <c r="L7" s="5" t="s">
        <v>43</v>
      </c>
      <c r="M7" s="5">
        <v>8296514569</v>
      </c>
      <c r="O7" s="5" t="s">
        <v>17</v>
      </c>
    </row>
    <row r="8" spans="1:16" s="5" customFormat="1" x14ac:dyDescent="0.25">
      <c r="A8" s="5">
        <v>7</v>
      </c>
      <c r="B8" s="5">
        <v>123</v>
      </c>
      <c r="C8" s="7">
        <v>45944</v>
      </c>
      <c r="D8" s="7">
        <v>46204</v>
      </c>
      <c r="E8" s="5">
        <f t="shared" si="0"/>
        <v>8</v>
      </c>
      <c r="F8" s="5" t="s">
        <v>24</v>
      </c>
      <c r="G8" s="5">
        <v>5450</v>
      </c>
      <c r="H8" s="5" t="s">
        <v>46</v>
      </c>
      <c r="I8" s="5" t="s">
        <v>47</v>
      </c>
      <c r="J8" s="5">
        <v>3650</v>
      </c>
      <c r="K8" s="5" t="s">
        <v>48</v>
      </c>
      <c r="L8" s="5" t="s">
        <v>49</v>
      </c>
      <c r="M8" s="5">
        <v>7406000627</v>
      </c>
      <c r="O8" s="5" t="s">
        <v>17</v>
      </c>
    </row>
    <row r="9" spans="1:16" s="5" customFormat="1" x14ac:dyDescent="0.25">
      <c r="A9" s="5">
        <v>8</v>
      </c>
      <c r="B9" s="5">
        <v>128</v>
      </c>
      <c r="C9" s="7">
        <v>45953</v>
      </c>
      <c r="D9" s="7">
        <v>46204</v>
      </c>
      <c r="E9" s="5">
        <f t="shared" si="0"/>
        <v>8</v>
      </c>
      <c r="F9" s="5" t="s">
        <v>24</v>
      </c>
      <c r="G9" s="5">
        <v>5450</v>
      </c>
      <c r="H9" s="5" t="s">
        <v>50</v>
      </c>
      <c r="I9" s="5" t="s">
        <v>53</v>
      </c>
      <c r="J9" s="5">
        <v>3650</v>
      </c>
      <c r="K9" s="5" t="s">
        <v>51</v>
      </c>
      <c r="M9" s="5">
        <v>8618626275</v>
      </c>
      <c r="O9" s="5" t="s">
        <v>17</v>
      </c>
    </row>
    <row r="10" spans="1:16" s="5" customFormat="1" x14ac:dyDescent="0.25">
      <c r="A10" s="5">
        <v>9</v>
      </c>
      <c r="B10" s="5">
        <v>200</v>
      </c>
      <c r="C10" s="7">
        <v>45989</v>
      </c>
      <c r="D10" s="7">
        <v>46204</v>
      </c>
      <c r="E10" s="5">
        <f t="shared" si="0"/>
        <v>7</v>
      </c>
      <c r="F10" s="5" t="s">
        <v>24</v>
      </c>
      <c r="G10" s="5">
        <v>5450</v>
      </c>
      <c r="H10" s="5" t="s">
        <v>52</v>
      </c>
      <c r="I10" s="5" t="s">
        <v>31</v>
      </c>
      <c r="J10" s="5">
        <v>3650</v>
      </c>
      <c r="K10" s="5" t="s">
        <v>54</v>
      </c>
      <c r="L10" s="5" t="s">
        <v>55</v>
      </c>
      <c r="M10" s="5">
        <v>9843099435</v>
      </c>
      <c r="O10" s="5" t="s">
        <v>17</v>
      </c>
    </row>
    <row r="11" spans="1:16" s="10" customFormat="1" x14ac:dyDescent="0.25">
      <c r="A11" s="10">
        <v>10</v>
      </c>
      <c r="B11" s="10">
        <v>228</v>
      </c>
      <c r="C11" s="11">
        <v>46003</v>
      </c>
      <c r="D11" s="11">
        <v>46204</v>
      </c>
      <c r="E11" s="10">
        <f t="shared" si="0"/>
        <v>6</v>
      </c>
      <c r="F11" s="10" t="s">
        <v>24</v>
      </c>
      <c r="G11" s="10">
        <v>5450</v>
      </c>
      <c r="H11" s="10" t="s">
        <v>56</v>
      </c>
      <c r="I11" s="10" t="s">
        <v>57</v>
      </c>
      <c r="J11" s="10">
        <v>3650</v>
      </c>
      <c r="K11" s="10" t="s">
        <v>58</v>
      </c>
      <c r="L11" s="10" t="s">
        <v>59</v>
      </c>
      <c r="M11" s="10">
        <v>7829365444</v>
      </c>
      <c r="N11" s="10" t="s">
        <v>105</v>
      </c>
      <c r="O11" s="10" t="s">
        <v>17</v>
      </c>
    </row>
    <row r="12" spans="1:16" s="5" customFormat="1" x14ac:dyDescent="0.25">
      <c r="A12" s="5">
        <v>11</v>
      </c>
      <c r="B12" s="5">
        <v>255</v>
      </c>
      <c r="C12" s="7">
        <v>46029</v>
      </c>
      <c r="D12" s="7">
        <v>46204</v>
      </c>
      <c r="E12" s="5">
        <f t="shared" si="0"/>
        <v>5</v>
      </c>
      <c r="F12" s="5" t="s">
        <v>11</v>
      </c>
      <c r="G12" s="5" t="s">
        <v>12</v>
      </c>
      <c r="H12" s="5" t="s">
        <v>13</v>
      </c>
      <c r="I12" s="5" t="s">
        <v>60</v>
      </c>
      <c r="J12" s="5">
        <v>3650</v>
      </c>
      <c r="K12" s="5" t="s">
        <v>61</v>
      </c>
      <c r="L12" s="5" t="s">
        <v>62</v>
      </c>
      <c r="M12" s="5">
        <v>9810681885</v>
      </c>
      <c r="O12" s="5" t="s">
        <v>17</v>
      </c>
    </row>
    <row r="13" spans="1:16" s="5" customFormat="1" x14ac:dyDescent="0.25">
      <c r="A13" s="5">
        <v>12</v>
      </c>
      <c r="B13" s="5">
        <v>271</v>
      </c>
      <c r="C13" s="7">
        <v>46039</v>
      </c>
      <c r="D13" s="7">
        <v>46204</v>
      </c>
      <c r="E13" s="5">
        <f t="shared" si="0"/>
        <v>5</v>
      </c>
      <c r="F13" s="5" t="s">
        <v>24</v>
      </c>
      <c r="G13" s="5">
        <v>5450</v>
      </c>
      <c r="H13" s="5" t="s">
        <v>63</v>
      </c>
      <c r="I13" s="5" t="s">
        <v>64</v>
      </c>
      <c r="J13" s="5">
        <v>3650</v>
      </c>
      <c r="K13" s="5" t="s">
        <v>65</v>
      </c>
      <c r="L13" s="5" t="s">
        <v>66</v>
      </c>
      <c r="M13" s="5">
        <v>7387638734</v>
      </c>
      <c r="O13" s="5" t="s">
        <v>17</v>
      </c>
    </row>
    <row r="14" spans="1:16" s="5" customFormat="1" x14ac:dyDescent="0.25">
      <c r="A14" s="5">
        <v>13</v>
      </c>
      <c r="B14" s="5">
        <v>300</v>
      </c>
      <c r="C14" s="7">
        <v>46066</v>
      </c>
      <c r="D14" s="7">
        <v>46204</v>
      </c>
      <c r="E14" s="5">
        <f t="shared" si="0"/>
        <v>4</v>
      </c>
      <c r="F14" s="5" t="s">
        <v>24</v>
      </c>
      <c r="G14" s="5">
        <v>5450</v>
      </c>
      <c r="H14" s="5" t="s">
        <v>67</v>
      </c>
      <c r="I14" s="5" t="s">
        <v>68</v>
      </c>
      <c r="J14" s="5">
        <v>4200</v>
      </c>
      <c r="K14" s="5" t="s">
        <v>69</v>
      </c>
      <c r="L14" s="5" t="s">
        <v>70</v>
      </c>
      <c r="M14" s="5">
        <v>8591480647</v>
      </c>
      <c r="O14" s="5" t="s">
        <v>17</v>
      </c>
    </row>
    <row r="15" spans="1:16" s="5" customFormat="1" x14ac:dyDescent="0.25">
      <c r="A15" s="5">
        <v>14</v>
      </c>
      <c r="B15" s="5">
        <v>304</v>
      </c>
      <c r="C15" s="7">
        <v>46069</v>
      </c>
      <c r="D15" s="7">
        <v>46204</v>
      </c>
      <c r="E15" s="5">
        <f t="shared" si="0"/>
        <v>4</v>
      </c>
      <c r="F15" s="5" t="s">
        <v>71</v>
      </c>
      <c r="G15" s="5" t="s">
        <v>72</v>
      </c>
      <c r="H15" s="5" t="s">
        <v>73</v>
      </c>
      <c r="I15" s="5" t="s">
        <v>74</v>
      </c>
      <c r="J15" s="5">
        <v>3500</v>
      </c>
      <c r="K15" s="5" t="s">
        <v>75</v>
      </c>
      <c r="L15" s="5" t="s">
        <v>76</v>
      </c>
      <c r="M15" s="5">
        <v>7337037716</v>
      </c>
      <c r="O15" s="5" t="s">
        <v>17</v>
      </c>
    </row>
    <row r="16" spans="1:16" s="5" customFormat="1" x14ac:dyDescent="0.25">
      <c r="A16" s="5">
        <v>15</v>
      </c>
      <c r="B16" s="5">
        <v>305</v>
      </c>
      <c r="C16" s="7">
        <v>46070</v>
      </c>
      <c r="D16" s="7">
        <v>46204</v>
      </c>
      <c r="E16" s="5">
        <f t="shared" si="0"/>
        <v>4</v>
      </c>
      <c r="F16" s="5" t="s">
        <v>77</v>
      </c>
      <c r="G16" s="5" t="s">
        <v>72</v>
      </c>
      <c r="H16" s="5" t="s">
        <v>78</v>
      </c>
      <c r="I16" s="5" t="s">
        <v>79</v>
      </c>
      <c r="J16" s="5">
        <v>3650</v>
      </c>
      <c r="K16" s="5" t="s">
        <v>80</v>
      </c>
      <c r="L16" s="5" t="s">
        <v>81</v>
      </c>
      <c r="M16" s="5">
        <v>8600052334</v>
      </c>
      <c r="O16" s="5" t="s">
        <v>17</v>
      </c>
    </row>
    <row r="17" spans="1:15" s="10" customFormat="1" hidden="1" x14ac:dyDescent="0.25">
      <c r="A17" s="10">
        <v>16</v>
      </c>
      <c r="B17" s="10">
        <v>347</v>
      </c>
      <c r="C17" s="11">
        <v>46108</v>
      </c>
      <c r="D17" s="11">
        <v>46113</v>
      </c>
      <c r="E17" s="10">
        <f t="shared" si="0"/>
        <v>0</v>
      </c>
      <c r="F17" s="10" t="s">
        <v>11</v>
      </c>
      <c r="G17" s="10" t="s">
        <v>12</v>
      </c>
      <c r="H17" s="10" t="s">
        <v>83</v>
      </c>
      <c r="I17" s="10" t="s">
        <v>84</v>
      </c>
      <c r="J17" s="10">
        <v>3500</v>
      </c>
      <c r="K17" s="10" t="s">
        <v>85</v>
      </c>
      <c r="L17" s="10" t="s">
        <v>86</v>
      </c>
      <c r="M17" s="10">
        <v>9500071869</v>
      </c>
      <c r="N17" s="10" t="s">
        <v>94</v>
      </c>
      <c r="O17" s="10" t="s">
        <v>82</v>
      </c>
    </row>
    <row r="18" spans="1:15" s="5" customFormat="1" x14ac:dyDescent="0.25">
      <c r="A18" s="5">
        <v>17</v>
      </c>
      <c r="B18" s="5">
        <v>364</v>
      </c>
      <c r="C18" s="7">
        <v>46095</v>
      </c>
      <c r="D18" s="7">
        <v>46204</v>
      </c>
      <c r="E18" s="5">
        <f t="shared" si="0"/>
        <v>3</v>
      </c>
      <c r="F18" s="5" t="s">
        <v>11</v>
      </c>
      <c r="G18" s="5" t="s">
        <v>12</v>
      </c>
      <c r="H18" s="5" t="s">
        <v>87</v>
      </c>
      <c r="I18" s="5" t="s">
        <v>88</v>
      </c>
      <c r="J18" s="5">
        <v>3650</v>
      </c>
      <c r="K18" s="5" t="s">
        <v>89</v>
      </c>
      <c r="L18" s="5" t="s">
        <v>90</v>
      </c>
      <c r="M18" s="5">
        <v>9133160046</v>
      </c>
      <c r="O18" s="5" t="s">
        <v>17</v>
      </c>
    </row>
    <row r="19" spans="1:15" s="5" customFormat="1" x14ac:dyDescent="0.25">
      <c r="A19" s="5">
        <v>18</v>
      </c>
      <c r="B19" s="5">
        <v>365</v>
      </c>
      <c r="C19" s="7">
        <v>46127</v>
      </c>
      <c r="D19" s="7">
        <v>46204</v>
      </c>
      <c r="E19" s="5">
        <f t="shared" si="0"/>
        <v>2</v>
      </c>
      <c r="F19" s="5" t="s">
        <v>11</v>
      </c>
      <c r="G19" s="5" t="s">
        <v>12</v>
      </c>
      <c r="H19" s="5" t="s">
        <v>91</v>
      </c>
      <c r="I19" s="5" t="s">
        <v>88</v>
      </c>
      <c r="J19" s="5">
        <v>3650</v>
      </c>
      <c r="K19" s="5" t="s">
        <v>92</v>
      </c>
      <c r="L19" s="5" t="s">
        <v>93</v>
      </c>
      <c r="M19" s="5">
        <v>7204734510</v>
      </c>
      <c r="O19" s="5" t="s">
        <v>82</v>
      </c>
    </row>
    <row r="20" spans="1:15" s="5" customFormat="1" x14ac:dyDescent="0.25">
      <c r="A20" s="5">
        <v>19</v>
      </c>
      <c r="B20" s="5">
        <v>373</v>
      </c>
      <c r="C20" s="7">
        <v>46134</v>
      </c>
      <c r="D20" s="7">
        <v>46204</v>
      </c>
      <c r="E20" s="5">
        <f t="shared" si="0"/>
        <v>2</v>
      </c>
      <c r="F20" s="5" t="s">
        <v>11</v>
      </c>
      <c r="G20" s="5" t="s">
        <v>12</v>
      </c>
      <c r="H20" s="5" t="s">
        <v>95</v>
      </c>
      <c r="I20" s="5" t="s">
        <v>88</v>
      </c>
      <c r="J20" s="5">
        <v>3650</v>
      </c>
      <c r="K20" s="5" t="s">
        <v>96</v>
      </c>
      <c r="L20" s="5" t="s">
        <v>97</v>
      </c>
      <c r="M20" s="5">
        <v>7857066836</v>
      </c>
      <c r="O20" s="5" t="s">
        <v>82</v>
      </c>
    </row>
    <row r="21" spans="1:15" s="5" customFormat="1" x14ac:dyDescent="0.25">
      <c r="A21" s="5">
        <v>20</v>
      </c>
      <c r="B21" s="5">
        <v>375</v>
      </c>
      <c r="C21" s="7">
        <v>46146</v>
      </c>
      <c r="D21" s="7">
        <v>46204</v>
      </c>
      <c r="E21" s="5">
        <f t="shared" si="0"/>
        <v>1</v>
      </c>
      <c r="F21" s="5" t="s">
        <v>24</v>
      </c>
      <c r="G21" s="5">
        <v>5450</v>
      </c>
      <c r="H21" s="5" t="s">
        <v>98</v>
      </c>
      <c r="I21" s="5" t="s">
        <v>88</v>
      </c>
      <c r="J21" s="5">
        <v>3650</v>
      </c>
      <c r="K21" s="5" t="s">
        <v>100</v>
      </c>
      <c r="L21" s="5" t="s">
        <v>99</v>
      </c>
      <c r="M21" s="5">
        <v>9480261977</v>
      </c>
      <c r="O21" s="5" t="s">
        <v>17</v>
      </c>
    </row>
    <row r="22" spans="1:15" s="5" customFormat="1" x14ac:dyDescent="0.25">
      <c r="A22" s="5">
        <v>21</v>
      </c>
      <c r="B22" s="5">
        <v>436</v>
      </c>
      <c r="C22" s="7">
        <v>46202</v>
      </c>
      <c r="D22" s="7">
        <v>46204</v>
      </c>
      <c r="E22" s="5">
        <f t="shared" si="0"/>
        <v>0</v>
      </c>
      <c r="F22" s="5" t="s">
        <v>11</v>
      </c>
      <c r="G22" s="5" t="s">
        <v>12</v>
      </c>
      <c r="H22" s="5" t="s">
        <v>102</v>
      </c>
      <c r="I22" s="5" t="s">
        <v>88</v>
      </c>
      <c r="J22" s="5">
        <v>3650</v>
      </c>
      <c r="K22" s="5" t="s">
        <v>103</v>
      </c>
      <c r="L22" s="5" t="s">
        <v>104</v>
      </c>
      <c r="M22" s="5">
        <v>8105574840</v>
      </c>
      <c r="O22" s="5" t="s">
        <v>17</v>
      </c>
    </row>
    <row r="23" spans="1:15" s="5" customFormat="1" x14ac:dyDescent="0.25">
      <c r="A23" s="5">
        <v>22</v>
      </c>
      <c r="B23" s="5">
        <v>450</v>
      </c>
      <c r="C23" s="7">
        <v>46218</v>
      </c>
      <c r="D23" s="7">
        <v>46204</v>
      </c>
      <c r="E23" s="5" t="e">
        <f t="shared" si="0"/>
        <v>#NUM!</v>
      </c>
      <c r="F23" s="5" t="s">
        <v>106</v>
      </c>
      <c r="G23" s="5" t="s">
        <v>107</v>
      </c>
      <c r="H23" s="5" t="s">
        <v>108</v>
      </c>
      <c r="I23" s="5" t="s">
        <v>109</v>
      </c>
      <c r="J23" s="5">
        <v>6000</v>
      </c>
      <c r="K23" s="5" t="s">
        <v>110</v>
      </c>
      <c r="L23" s="5" t="s">
        <v>111</v>
      </c>
      <c r="M23" s="5">
        <v>9480261977</v>
      </c>
      <c r="O23" s="5" t="s">
        <v>82</v>
      </c>
    </row>
    <row r="24" spans="1:15" s="5" customFormat="1" x14ac:dyDescent="0.25"/>
    <row r="25" spans="1:15" s="5" customFormat="1" x14ac:dyDescent="0.25"/>
    <row r="26" spans="1:15" s="5" customFormat="1" x14ac:dyDescent="0.25"/>
    <row r="27" spans="1:15" s="5" customFormat="1" x14ac:dyDescent="0.25"/>
    <row r="28" spans="1:15" s="5" customFormat="1" x14ac:dyDescent="0.25"/>
    <row r="29" spans="1:15" s="8" customFormat="1" x14ac:dyDescent="0.25"/>
  </sheetData>
  <autoFilter ref="A1:O21" xr:uid="{00000000-0001-0000-0000-000000000000}">
    <filterColumn colId="13">
      <filters blank="1"/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2026-07-16T06:28:37Z</dcterms:modified>
</cp:coreProperties>
</file>